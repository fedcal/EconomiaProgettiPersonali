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olatore" sheetId="1" r:id="rId4"/>
    <sheet state="visible" name="Leggenda" sheetId="2" r:id="rId5"/>
  </sheets>
  <definedNames/>
  <calcPr/>
</workbook>
</file>

<file path=xl/sharedStrings.xml><?xml version="1.0" encoding="utf-8"?>
<sst xmlns="http://schemas.openxmlformats.org/spreadsheetml/2006/main" count="96" uniqueCount="59">
  <si>
    <t>Tipo Attività</t>
  </si>
  <si>
    <t>Nome Attività</t>
  </si>
  <si>
    <t>Costo</t>
  </si>
  <si>
    <t>Quantità</t>
  </si>
  <si>
    <t>Totale</t>
  </si>
  <si>
    <t>Informatica</t>
  </si>
  <si>
    <t>Sito vetrina composto da: home page, contatti, chi siamo, storia</t>
  </si>
  <si>
    <t>Pagine aggiuntive</t>
  </si>
  <si>
    <t>Pagine aggiuntive: Pacchetto 3 pagine</t>
  </si>
  <si>
    <t>Pagine aggiuntive: Pacchetto 5 pagine</t>
  </si>
  <si>
    <t>Sezione di amministrazione contenuti (ad esempio menù)</t>
  </si>
  <si>
    <t>Sezione di amministrazione con utenti, tavoli e ordinazioni</t>
  </si>
  <si>
    <t>SEO (tag, hastag, google search console, google analysis, creazione e miglioramento testi)</t>
  </si>
  <si>
    <t>Fotografica</t>
  </si>
  <si>
    <t>Servizio Foto</t>
  </si>
  <si>
    <t>Servizio Drone</t>
  </si>
  <si>
    <t>Messa Online</t>
  </si>
  <si>
    <t>Social Media</t>
  </si>
  <si>
    <t>Inizializzazione Social</t>
  </si>
  <si>
    <t>Creazione Volantini</t>
  </si>
  <si>
    <t>Creazione qr code menù</t>
  </si>
  <si>
    <t>Creazione di sistema di prenotazione tramite qr code</t>
  </si>
  <si>
    <t>Gestione pagina sito web con post social</t>
  </si>
  <si>
    <t>Analisi funzionale</t>
  </si>
  <si>
    <t>Call Raccolta requisit, analisi dei processi attuali, valutazione fattibilità tecnica, proposta architetturale, stima tempi e costi, documento di sintesi.</t>
  </si>
  <si>
    <t>Tipo Servizio</t>
  </si>
  <si>
    <t>Nome Servizio</t>
  </si>
  <si>
    <t>Post Instagram con seo</t>
  </si>
  <si>
    <t>Gestione Social (tik tok, instagram, facebook)</t>
  </si>
  <si>
    <t>Gestione Google Maps</t>
  </si>
  <si>
    <t>Carosello Instagram/TikTok</t>
  </si>
  <si>
    <t>Video TikTok</t>
  </si>
  <si>
    <t>Tipo Manutenzione</t>
  </si>
  <si>
    <t>Include</t>
  </si>
  <si>
    <t>Manutenzione Base</t>
  </si>
  <si>
    <t>Piccoli aggiornamenti mensili sui testi e sulla seo</t>
  </si>
  <si>
    <t>Manutenzione A Contenuti</t>
  </si>
  <si>
    <t>Contenuti semplici</t>
  </si>
  <si>
    <t>Contenuti nuovi</t>
  </si>
  <si>
    <t>Manutenzione Analisi</t>
  </si>
  <si>
    <t>Aggiornamento analisi</t>
  </si>
  <si>
    <t>(oraria)</t>
  </si>
  <si>
    <t>Tipo Pacchetto</t>
  </si>
  <si>
    <t>Ideale per</t>
  </si>
  <si>
    <t>Pacchetto START - "Presenza online"</t>
  </si>
  <si>
    <t>Sito vetrina, design responsive, seo base strategica (analisi settore, parole chiave, ottimizzazioone testi forniti, meta tag + search consoole) , messa online. Non include Gestione contenuti, manutenzione.</t>
  </si>
  <si>
    <t>bar, pizzerie, studi professionali, assoociaizoni</t>
  </si>
  <si>
    <t>Pacchetto Vusiness - "Sito Gestibile"</t>
  </si>
  <si>
    <t>pacchetto start, area amministrativa contenuti base (titoolo, descrizione), SEO avanzata, ottimizzazione performance</t>
  </si>
  <si>
    <t>ristoranti, bnb, pmi strutturate</t>
  </si>
  <si>
    <t>Pacchetto Pro - Sistema digitale</t>
  </si>
  <si>
    <t>tutto il business, sistema di prenotazione, richiesta tramite qr, area admin avanzata, integrazione email/notifiche, Seo completa</t>
  </si>
  <si>
    <t>aziende strutturate, enti</t>
  </si>
  <si>
    <t>Automation START</t>
  </si>
  <si>
    <t>Analisi processo, script/tool semplice, integrazione base (file, email, API)</t>
  </si>
  <si>
    <t>micro-PMI</t>
  </si>
  <si>
    <t>Automation BUSINESS</t>
  </si>
  <si>
    <t>Tool su misura, dashboard base, integrazione database, logging sicurezza base</t>
  </si>
  <si>
    <t>Sistemi complessi, automazioni scalabili, integrazione sistemi esistenti, training e documentazione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</si>
</sst>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7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8" fontId="2" numFmtId="0" xfId="0" applyAlignment="1" applyBorder="1" applyFill="1" applyFont="1">
      <alignment horizontal="center" readingOrder="0" vertical="center"/>
    </xf>
    <xf borderId="0" fillId="5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8.13"/>
    <col customWidth="1" min="6" max="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800.0</v>
      </c>
      <c r="D2" s="5">
        <v>1.0</v>
      </c>
      <c r="E2" s="6">
        <f>SUM((C2*D2)+(C3*D3)+(C6*D6)+(C7*D7)+(C8*D8)+(C9*D9)+(C10*D10))</f>
        <v>1400</v>
      </c>
    </row>
    <row r="3">
      <c r="A3" s="2" t="s">
        <v>5</v>
      </c>
      <c r="B3" s="3" t="s">
        <v>7</v>
      </c>
      <c r="C3" s="4">
        <v>50.0</v>
      </c>
      <c r="D3" s="5">
        <v>0.0</v>
      </c>
    </row>
    <row r="4">
      <c r="A4" s="2" t="s">
        <v>5</v>
      </c>
      <c r="B4" s="3" t="s">
        <v>8</v>
      </c>
      <c r="C4" s="4">
        <v>120.0</v>
      </c>
      <c r="D4" s="5">
        <v>0.0</v>
      </c>
    </row>
    <row r="5">
      <c r="A5" s="2" t="s">
        <v>5</v>
      </c>
      <c r="B5" s="3" t="s">
        <v>9</v>
      </c>
      <c r="C5" s="4">
        <v>220.0</v>
      </c>
      <c r="D5" s="5">
        <v>0.0</v>
      </c>
    </row>
    <row r="6">
      <c r="A6" s="2" t="s">
        <v>5</v>
      </c>
      <c r="B6" s="3" t="s">
        <v>10</v>
      </c>
      <c r="C6" s="4">
        <v>650.0</v>
      </c>
      <c r="D6" s="5">
        <v>0.0</v>
      </c>
    </row>
    <row r="7">
      <c r="A7" s="2" t="s">
        <v>5</v>
      </c>
      <c r="B7" s="3" t="s">
        <v>11</v>
      </c>
      <c r="C7" s="4">
        <v>1200.0</v>
      </c>
      <c r="D7" s="5">
        <v>0.0</v>
      </c>
    </row>
    <row r="8">
      <c r="A8" s="2" t="s">
        <v>5</v>
      </c>
      <c r="B8" s="3" t="s">
        <v>12</v>
      </c>
      <c r="C8" s="4">
        <v>600.0</v>
      </c>
      <c r="D8" s="5">
        <v>1.0</v>
      </c>
    </row>
    <row r="9">
      <c r="A9" s="7" t="s">
        <v>13</v>
      </c>
      <c r="B9" s="3" t="s">
        <v>14</v>
      </c>
      <c r="C9" s="4">
        <v>150.0</v>
      </c>
      <c r="D9" s="5">
        <v>0.0</v>
      </c>
    </row>
    <row r="10">
      <c r="A10" s="7" t="s">
        <v>13</v>
      </c>
      <c r="B10" s="3" t="s">
        <v>15</v>
      </c>
      <c r="C10" s="4">
        <v>400.0</v>
      </c>
      <c r="D10" s="5">
        <v>0.0</v>
      </c>
    </row>
    <row r="11">
      <c r="A11" s="2" t="s">
        <v>5</v>
      </c>
      <c r="B11" s="3" t="s">
        <v>16</v>
      </c>
      <c r="C11" s="4">
        <v>150.0</v>
      </c>
      <c r="D11" s="5">
        <v>1.0</v>
      </c>
    </row>
    <row r="12">
      <c r="A12" s="8" t="s">
        <v>17</v>
      </c>
      <c r="B12" s="3" t="s">
        <v>18</v>
      </c>
      <c r="C12" s="4">
        <v>250.0</v>
      </c>
      <c r="D12" s="5">
        <v>0.0</v>
      </c>
    </row>
    <row r="13">
      <c r="A13" s="8" t="s">
        <v>17</v>
      </c>
      <c r="B13" s="3" t="s">
        <v>19</v>
      </c>
      <c r="C13" s="4">
        <v>40.0</v>
      </c>
      <c r="D13" s="5">
        <v>0.0</v>
      </c>
    </row>
    <row r="14">
      <c r="A14" s="8" t="s">
        <v>17</v>
      </c>
      <c r="B14" s="3" t="s">
        <v>20</v>
      </c>
      <c r="C14" s="4">
        <v>40.0</v>
      </c>
      <c r="D14" s="5">
        <v>0.0</v>
      </c>
    </row>
    <row r="15">
      <c r="A15" s="2" t="s">
        <v>5</v>
      </c>
      <c r="B15" s="3" t="s">
        <v>21</v>
      </c>
      <c r="C15" s="4">
        <v>1800.0</v>
      </c>
      <c r="D15" s="5">
        <v>0.0</v>
      </c>
    </row>
    <row r="16">
      <c r="A16" s="2" t="s">
        <v>5</v>
      </c>
      <c r="B16" s="3" t="s">
        <v>22</v>
      </c>
      <c r="C16" s="4">
        <v>700.0</v>
      </c>
      <c r="D16" s="5">
        <v>0.0</v>
      </c>
    </row>
    <row r="17">
      <c r="A17" s="9" t="s">
        <v>23</v>
      </c>
      <c r="B17" s="10" t="s">
        <v>24</v>
      </c>
      <c r="C17" s="11">
        <v>200.0</v>
      </c>
      <c r="D17" s="12">
        <v>1.0</v>
      </c>
    </row>
    <row r="20">
      <c r="A20" s="1" t="s">
        <v>25</v>
      </c>
      <c r="B20" s="1" t="s">
        <v>26</v>
      </c>
      <c r="C20" s="1" t="s">
        <v>2</v>
      </c>
      <c r="D20" s="1" t="s">
        <v>3</v>
      </c>
      <c r="E20" s="1" t="s">
        <v>4</v>
      </c>
    </row>
    <row r="21">
      <c r="A21" s="8" t="s">
        <v>17</v>
      </c>
      <c r="B21" s="5" t="s">
        <v>27</v>
      </c>
      <c r="C21" s="4">
        <v>25.0</v>
      </c>
      <c r="D21" s="5">
        <v>1.0</v>
      </c>
      <c r="E21" s="6">
        <f>SUM((C21*D21)+(C22*D22)+(C23*D23)+(C24*D24)+(C25*D25))</f>
        <v>25</v>
      </c>
    </row>
    <row r="22">
      <c r="A22" s="8" t="s">
        <v>17</v>
      </c>
      <c r="B22" s="5" t="s">
        <v>28</v>
      </c>
      <c r="C22" s="4">
        <v>400.0</v>
      </c>
      <c r="D22" s="5">
        <v>0.0</v>
      </c>
    </row>
    <row r="23">
      <c r="A23" s="8" t="s">
        <v>17</v>
      </c>
      <c r="B23" s="5" t="s">
        <v>29</v>
      </c>
      <c r="C23" s="4">
        <v>120.0</v>
      </c>
      <c r="D23" s="5">
        <v>0.0</v>
      </c>
    </row>
    <row r="24">
      <c r="A24" s="8" t="s">
        <v>17</v>
      </c>
      <c r="B24" s="5" t="s">
        <v>30</v>
      </c>
      <c r="C24" s="4">
        <v>45.0</v>
      </c>
      <c r="D24" s="5">
        <v>0.0</v>
      </c>
    </row>
    <row r="25">
      <c r="A25" s="8" t="s">
        <v>17</v>
      </c>
      <c r="B25" s="5" t="s">
        <v>31</v>
      </c>
      <c r="C25" s="4">
        <v>50.0</v>
      </c>
      <c r="D25" s="5">
        <v>0.0</v>
      </c>
    </row>
    <row r="28">
      <c r="A28" s="1" t="s">
        <v>32</v>
      </c>
      <c r="B28" s="1" t="s">
        <v>33</v>
      </c>
      <c r="C28" s="1" t="s">
        <v>2</v>
      </c>
      <c r="D28" s="1" t="s">
        <v>3</v>
      </c>
      <c r="E28" s="1" t="s">
        <v>4</v>
      </c>
    </row>
    <row r="29">
      <c r="A29" s="13" t="s">
        <v>34</v>
      </c>
      <c r="B29" s="5" t="s">
        <v>35</v>
      </c>
      <c r="C29" s="4">
        <v>80.0</v>
      </c>
      <c r="D29" s="5">
        <v>1.0</v>
      </c>
      <c r="E29" s="6">
        <f>SUM((C29*D29)+(C30*D30)+(C31*D31))</f>
        <v>80</v>
      </c>
    </row>
    <row r="30">
      <c r="A30" s="13" t="s">
        <v>36</v>
      </c>
      <c r="B30" s="5" t="s">
        <v>37</v>
      </c>
      <c r="C30" s="4">
        <v>30.0</v>
      </c>
      <c r="D30" s="5">
        <v>0.0</v>
      </c>
    </row>
    <row r="31">
      <c r="A31" s="13" t="s">
        <v>36</v>
      </c>
      <c r="B31" s="5" t="s">
        <v>38</v>
      </c>
      <c r="C31" s="4">
        <v>80.0</v>
      </c>
      <c r="D31" s="5">
        <v>0.0</v>
      </c>
    </row>
    <row r="32">
      <c r="A32" s="13" t="s">
        <v>39</v>
      </c>
      <c r="B32" s="5" t="s">
        <v>40</v>
      </c>
      <c r="C32" s="4">
        <v>40.0</v>
      </c>
      <c r="D32" s="5">
        <v>0.0</v>
      </c>
      <c r="E32" s="14" t="s">
        <v>41</v>
      </c>
    </row>
    <row r="35">
      <c r="A35" s="1" t="s">
        <v>42</v>
      </c>
      <c r="B35" s="1" t="s">
        <v>33</v>
      </c>
      <c r="C35" s="1" t="s">
        <v>2</v>
      </c>
      <c r="D35" s="1" t="s">
        <v>3</v>
      </c>
      <c r="E35" s="1" t="s">
        <v>4</v>
      </c>
      <c r="F35" s="1" t="s">
        <v>43</v>
      </c>
    </row>
    <row r="36">
      <c r="A36" s="15" t="s">
        <v>44</v>
      </c>
      <c r="B36" s="3" t="s">
        <v>45</v>
      </c>
      <c r="C36" s="4">
        <v>990.0</v>
      </c>
      <c r="D36" s="5">
        <v>1.0</v>
      </c>
      <c r="E36" s="6">
        <f>SUM((C36*D36)+(C37*D37)+(C38*D38))</f>
        <v>5390</v>
      </c>
      <c r="F36" s="3" t="s">
        <v>46</v>
      </c>
    </row>
    <row r="37">
      <c r="A37" s="15" t="s">
        <v>47</v>
      </c>
      <c r="B37" s="3" t="s">
        <v>48</v>
      </c>
      <c r="C37" s="4">
        <v>1600.0</v>
      </c>
      <c r="D37" s="5">
        <v>1.0</v>
      </c>
      <c r="F37" s="3" t="s">
        <v>49</v>
      </c>
    </row>
    <row r="38">
      <c r="A38" s="15" t="s">
        <v>50</v>
      </c>
      <c r="B38" s="3" t="s">
        <v>51</v>
      </c>
      <c r="C38" s="4">
        <v>2800.0</v>
      </c>
      <c r="D38" s="5">
        <v>1.0</v>
      </c>
      <c r="F38" s="5" t="s">
        <v>52</v>
      </c>
    </row>
    <row r="39">
      <c r="A39" s="15" t="s">
        <v>53</v>
      </c>
      <c r="B39" s="3" t="s">
        <v>54</v>
      </c>
      <c r="C39" s="4">
        <v>800.0</v>
      </c>
      <c r="D39" s="5">
        <v>1.0</v>
      </c>
      <c r="F39" s="5" t="s">
        <v>55</v>
      </c>
    </row>
    <row r="40">
      <c r="A40" s="15" t="s">
        <v>56</v>
      </c>
      <c r="B40" s="3" t="s">
        <v>57</v>
      </c>
      <c r="C40" s="4">
        <v>2000.0</v>
      </c>
      <c r="D40" s="5">
        <v>1.0</v>
      </c>
      <c r="F40" s="5" t="s">
        <v>55</v>
      </c>
    </row>
    <row r="41">
      <c r="A41" s="15" t="s">
        <v>53</v>
      </c>
      <c r="B41" s="3" t="s">
        <v>58</v>
      </c>
      <c r="C41" s="4">
        <v>5800.0</v>
      </c>
      <c r="D41" s="5">
        <v>1.0</v>
      </c>
      <c r="F41" s="5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</v>
      </c>
      <c r="B1" s="16" t="s">
        <v>17</v>
      </c>
    </row>
    <row r="2">
      <c r="A2" s="5" t="s">
        <v>13</v>
      </c>
      <c r="B2" s="17" t="s">
        <v>13</v>
      </c>
    </row>
    <row r="3">
      <c r="A3" s="5" t="s">
        <v>5</v>
      </c>
      <c r="B3" s="18" t="s">
        <v>5</v>
      </c>
    </row>
  </sheetData>
  <drawing r:id="rId1"/>
</worksheet>
</file>